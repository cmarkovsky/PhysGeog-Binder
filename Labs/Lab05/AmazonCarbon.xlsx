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603"/>
  <workbookPr defaultThemeVersion="166925"/>
  <mc:AlternateContent xmlns:mc="http://schemas.openxmlformats.org/markup-compatibility/2006">
    <mc:Choice Requires="x15">
      <x15ac:absPath xmlns:x15ac="http://schemas.microsoft.com/office/spreadsheetml/2010/11/ac" url="C:\Users\u6002212\Dropbox\Geog3050\Data\"/>
    </mc:Choice>
  </mc:AlternateContent>
  <xr:revisionPtr revIDLastSave="0" documentId="13_ncr:1_{8BBA900F-212E-4E84-A8DA-CF070AB97ED0}" xr6:coauthVersionLast="47" xr6:coauthVersionMax="47" xr10:uidLastSave="{00000000-0000-0000-0000-000000000000}"/>
  <bookViews>
    <workbookView xWindow="0" yWindow="0" windowWidth="23040" windowHeight="9780" xr2:uid="{74529D94-4DD7-4AEC-B38E-295B5BC1C93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1" l="1"/>
  <c r="B11" i="1" s="1"/>
  <c r="B24" i="1" l="1"/>
  <c r="B22" i="1"/>
  <c r="B20" i="1"/>
  <c r="B18" i="1"/>
  <c r="B16" i="1"/>
  <c r="B14" i="1"/>
  <c r="B12" i="1"/>
  <c r="B25" i="1"/>
  <c r="B23" i="1"/>
  <c r="B21" i="1"/>
  <c r="B19" i="1"/>
  <c r="B17" i="1"/>
  <c r="B15" i="1"/>
  <c r="B13" i="1"/>
</calcChain>
</file>

<file path=xl/sharedStrings.xml><?xml version="1.0" encoding="utf-8"?>
<sst xmlns="http://schemas.openxmlformats.org/spreadsheetml/2006/main" count="19" uniqueCount="17">
  <si>
    <t>Advection of Carbon from Flooded Forests (wetlands)</t>
  </si>
  <si>
    <t>1. Fill in the table using the appropriate equation derived in class. The column headers provide the input values to use for the calculations. Assume pCO2 of the atmosphere is constant: 420 ppmV. I provide the calculation for the constant C. You only need to do this once (e.g., you do not need to do it for each new set of variables/constants). I filled in one column of the table as an example.</t>
  </si>
  <si>
    <t>Table 1. Partial Pressure of CO2 (pCO2) in water from the wetland through the Amazon River channel, for differing assumed gas transfer velocities (k), water velocities (w), and water depths (H).</t>
  </si>
  <si>
    <t>Distance from the Wetland (m)</t>
  </si>
  <si>
    <t>pCO2 in Water (ppmV)</t>
  </si>
  <si>
    <t>Constant, C</t>
  </si>
  <si>
    <t>Constant: w (m/s) =</t>
  </si>
  <si>
    <t xml:space="preserve">H (m) = </t>
  </si>
  <si>
    <t>Constant: k (m/s) =</t>
  </si>
  <si>
    <t xml:space="preserve">k (m/s) = </t>
  </si>
  <si>
    <t>Variable k (m/s) =</t>
  </si>
  <si>
    <t>Variable w (m/s) =</t>
  </si>
  <si>
    <t>Variable H (m) =</t>
  </si>
  <si>
    <t>pCO2 (atmosphere)</t>
  </si>
  <si>
    <t>2. Create three graphs to illustratte how pCO2 varies with distance from the wetlands for varying, k, w, and H.</t>
  </si>
  <si>
    <t>3. Briefly describe the relationships between export of pCO2 from wetlands and gas transfer velocity, water velocity, and water depth.</t>
  </si>
  <si>
    <t>4. Under what conditions is pCO2 advected long distances from the wetland source (e.g., moved a long ways down stream)?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</si>
</sst>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E+00"/>
  </numFmts>
  <fonts count="3">
    <font>
      <sz val="11"/>
      <color theme="1"/>
      <name val="Calibri"/>
      <family val="2"/>
      <scheme val="minor"/>
    </font>
    <font>
      <b/>
      <sz val="11"/>
      <color theme="1"/>
      <name val="Calibri"/>
      <family val="2"/>
      <scheme val="minor"/>
    </font>
    <font>
      <u/>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6">
    <xf numFmtId="0" fontId="0" fillId="0" borderId="0" xfId="0"/>
    <xf numFmtId="0" fontId="1" fillId="0" borderId="0" xfId="0" applyFont="1"/>
    <xf numFmtId="0" fontId="0" fillId="0" borderId="9" xfId="0" applyBorder="1"/>
    <xf numFmtId="0" fontId="0" fillId="0" borderId="10" xfId="0" applyBorder="1"/>
    <xf numFmtId="0" fontId="0" fillId="0" borderId="11" xfId="0" applyBorder="1"/>
    <xf numFmtId="0" fontId="0" fillId="0" borderId="13" xfId="0" applyBorder="1" applyAlignment="1">
      <alignment horizontal="center"/>
    </xf>
    <xf numFmtId="0" fontId="0" fillId="0" borderId="14" xfId="0" applyBorder="1" applyAlignment="1">
      <alignment horizontal="center"/>
    </xf>
    <xf numFmtId="164" fontId="0" fillId="0" borderId="9"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0" fontId="0" fillId="0" borderId="4" xfId="0" applyBorder="1" applyAlignment="1"/>
    <xf numFmtId="0" fontId="0" fillId="0" borderId="5" xfId="0" applyBorder="1" applyAlignment="1">
      <alignment horizontal="left"/>
    </xf>
    <xf numFmtId="0" fontId="0" fillId="0" borderId="5" xfId="0" applyBorder="1" applyAlignment="1">
      <alignment horizontal="right"/>
    </xf>
    <xf numFmtId="0" fontId="0" fillId="0" borderId="6" xfId="0" applyBorder="1" applyAlignment="1">
      <alignment horizontal="left"/>
    </xf>
    <xf numFmtId="11" fontId="0" fillId="0" borderId="5" xfId="0" applyNumberFormat="1" applyBorder="1" applyAlignment="1">
      <alignment horizontal="left"/>
    </xf>
    <xf numFmtId="11" fontId="0" fillId="0" borderId="6" xfId="0" applyNumberFormat="1" applyBorder="1" applyAlignment="1">
      <alignment horizontal="left"/>
    </xf>
    <xf numFmtId="1" fontId="0" fillId="0" borderId="7" xfId="0" applyNumberFormat="1" applyBorder="1"/>
    <xf numFmtId="1" fontId="0" fillId="0" borderId="0" xfId="0" applyNumberFormat="1" applyBorder="1"/>
    <xf numFmtId="1" fontId="0" fillId="0" borderId="8" xfId="0" applyNumberFormat="1" applyBorder="1"/>
    <xf numFmtId="1" fontId="0" fillId="0" borderId="9" xfId="0" applyNumberFormat="1" applyBorder="1"/>
    <xf numFmtId="1" fontId="0" fillId="0" borderId="10" xfId="0" applyNumberFormat="1" applyBorder="1"/>
    <xf numFmtId="1" fontId="0" fillId="0" borderId="11" xfId="0" applyNumberFormat="1" applyBorder="1"/>
    <xf numFmtId="0" fontId="0" fillId="0" borderId="4" xfId="0" applyBorder="1"/>
    <xf numFmtId="0" fontId="0" fillId="0" borderId="5" xfId="0" applyBorder="1"/>
    <xf numFmtId="0" fontId="0" fillId="0" borderId="6" xfId="0" applyBorder="1"/>
    <xf numFmtId="0" fontId="1" fillId="0" borderId="12" xfId="0" applyFont="1" applyBorder="1"/>
    <xf numFmtId="0" fontId="2" fillId="0" borderId="0" xfId="0" applyFont="1"/>
    <xf numFmtId="0" fontId="1" fillId="0" borderId="0" xfId="0" applyFont="1" applyAlignment="1">
      <alignment horizontal="left" vertical="center" wrapText="1"/>
    </xf>
    <xf numFmtId="0" fontId="0" fillId="0" borderId="7" xfId="0" applyBorder="1" applyAlignment="1">
      <alignment horizontal="left" vertical="top"/>
    </xf>
    <xf numFmtId="0" fontId="0" fillId="0" borderId="0"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7" xfId="0"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 fillId="0" borderId="4" xfId="0" applyFont="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D5007-2DFC-40F5-B311-C7C76B5552E0}">
  <sheetPr>
    <pageSetUpPr fitToPage="1"/>
  </sheetPr>
  <dimension ref="A1:O46"/>
  <sheetViews>
    <sheetView tabSelected="1" workbookViewId="0">
      <selection activeCell="F2" sqref="F2"/>
    </sheetView>
  </sheetViews>
  <sheetFormatPr defaultRowHeight="14.45"/>
  <cols>
    <col min="1" max="1" width="30.7109375" customWidth="1"/>
    <col min="2" max="2" width="17.5703125" customWidth="1"/>
    <col min="3" max="5" width="13" customWidth="1"/>
    <col min="6" max="6" width="17.85546875" customWidth="1"/>
    <col min="7" max="9" width="13" customWidth="1"/>
    <col min="10" max="10" width="18" customWidth="1"/>
    <col min="11" max="13" width="13" customWidth="1"/>
    <col min="15" max="15" width="18" bestFit="1" customWidth="1"/>
    <col min="16" max="16" width="17.85546875" customWidth="1"/>
    <col min="20" max="20" width="17.28515625" bestFit="1" customWidth="1"/>
    <col min="24" max="24" width="17.85546875" bestFit="1" customWidth="1"/>
  </cols>
  <sheetData>
    <row r="1" spans="1:15">
      <c r="A1" s="26" t="s">
        <v>0</v>
      </c>
      <c r="B1" s="26"/>
    </row>
    <row r="3" spans="1:15" ht="37.9" customHeight="1">
      <c r="A3" s="27" t="s">
        <v>1</v>
      </c>
      <c r="B3" s="27"/>
      <c r="C3" s="27"/>
      <c r="D3" s="27"/>
      <c r="E3" s="27"/>
      <c r="F3" s="27"/>
      <c r="G3" s="27"/>
      <c r="H3" s="27"/>
      <c r="I3" s="27"/>
      <c r="J3" s="27"/>
      <c r="K3" s="27"/>
      <c r="L3" s="27"/>
      <c r="M3" s="27"/>
    </row>
    <row r="4" spans="1:15">
      <c r="A4" s="1"/>
      <c r="B4" s="1"/>
    </row>
    <row r="5" spans="1:15" ht="15" thickBot="1">
      <c r="A5" t="s">
        <v>2</v>
      </c>
    </row>
    <row r="6" spans="1:15" ht="15" thickBot="1">
      <c r="A6" s="40" t="s">
        <v>3</v>
      </c>
      <c r="B6" s="37" t="s">
        <v>4</v>
      </c>
      <c r="C6" s="38"/>
      <c r="D6" s="38"/>
      <c r="E6" s="38"/>
      <c r="F6" s="38"/>
      <c r="G6" s="38"/>
      <c r="H6" s="38"/>
      <c r="I6" s="38"/>
      <c r="J6" s="38"/>
      <c r="K6" s="38"/>
      <c r="L6" s="38"/>
      <c r="M6" s="39"/>
      <c r="O6" s="25" t="s">
        <v>5</v>
      </c>
    </row>
    <row r="7" spans="1:15" ht="15" thickBot="1">
      <c r="A7" s="41"/>
      <c r="B7" s="10" t="s">
        <v>6</v>
      </c>
      <c r="C7" s="11">
        <v>6</v>
      </c>
      <c r="D7" s="12" t="s">
        <v>7</v>
      </c>
      <c r="E7" s="13">
        <v>7</v>
      </c>
      <c r="F7" s="10" t="s">
        <v>8</v>
      </c>
      <c r="G7" s="14">
        <v>6.7000000000000002E-4</v>
      </c>
      <c r="H7" s="12" t="s">
        <v>7</v>
      </c>
      <c r="I7" s="13">
        <v>7</v>
      </c>
      <c r="J7" s="10" t="s">
        <v>6</v>
      </c>
      <c r="K7" s="11">
        <v>6</v>
      </c>
      <c r="L7" s="12" t="s">
        <v>9</v>
      </c>
      <c r="M7" s="15">
        <v>6.7000000000000002E-4</v>
      </c>
      <c r="O7" s="6">
        <f>($B$10-420)/EXP(-$B$9*$A$10/($C$7*$E$7))</f>
        <v>11580</v>
      </c>
    </row>
    <row r="8" spans="1:15" ht="15" thickBot="1">
      <c r="A8" s="41"/>
      <c r="B8" s="34" t="s">
        <v>10</v>
      </c>
      <c r="C8" s="35"/>
      <c r="D8" s="35"/>
      <c r="E8" s="36"/>
      <c r="F8" s="34" t="s">
        <v>11</v>
      </c>
      <c r="G8" s="35"/>
      <c r="H8" s="35"/>
      <c r="I8" s="36"/>
      <c r="J8" s="34" t="s">
        <v>12</v>
      </c>
      <c r="K8" s="35"/>
      <c r="L8" s="35"/>
      <c r="M8" s="36"/>
    </row>
    <row r="9" spans="1:15" ht="15" thickBot="1">
      <c r="A9" s="42"/>
      <c r="B9" s="7">
        <v>2.2000000000000001E-4</v>
      </c>
      <c r="C9" s="8">
        <v>4.4000000000000002E-4</v>
      </c>
      <c r="D9" s="8">
        <v>6.7000000000000002E-4</v>
      </c>
      <c r="E9" s="9">
        <v>8.8999999999999995E-4</v>
      </c>
      <c r="F9" s="2">
        <v>2</v>
      </c>
      <c r="G9" s="3">
        <v>6</v>
      </c>
      <c r="H9" s="3">
        <v>10</v>
      </c>
      <c r="I9" s="4">
        <v>14</v>
      </c>
      <c r="J9" s="2">
        <v>2</v>
      </c>
      <c r="K9" s="3">
        <v>7</v>
      </c>
      <c r="L9" s="3">
        <v>12</v>
      </c>
      <c r="M9" s="4">
        <v>17</v>
      </c>
      <c r="O9" s="25" t="s">
        <v>13</v>
      </c>
    </row>
    <row r="10" spans="1:15" ht="15" thickBot="1">
      <c r="A10" s="5">
        <v>0</v>
      </c>
      <c r="B10" s="22">
        <v>12000</v>
      </c>
      <c r="C10" s="23">
        <v>12000</v>
      </c>
      <c r="D10" s="23">
        <v>12000</v>
      </c>
      <c r="E10" s="24">
        <v>12000</v>
      </c>
      <c r="F10" s="22">
        <v>12000</v>
      </c>
      <c r="G10" s="23">
        <v>12000</v>
      </c>
      <c r="H10" s="23">
        <v>12000</v>
      </c>
      <c r="I10" s="24">
        <v>12000</v>
      </c>
      <c r="J10" s="22">
        <v>12000</v>
      </c>
      <c r="K10" s="23">
        <v>12000</v>
      </c>
      <c r="L10" s="23">
        <v>12000</v>
      </c>
      <c r="M10" s="24">
        <v>12000</v>
      </c>
      <c r="O10" s="6">
        <v>420</v>
      </c>
    </row>
    <row r="11" spans="1:15">
      <c r="A11" s="5">
        <v>10000</v>
      </c>
      <c r="B11" s="16">
        <f>$O$7*EXP(-B$9*$A11/($C$7*$E$7))+$O$10</f>
        <v>11409.041179147072</v>
      </c>
      <c r="C11" s="17"/>
      <c r="D11" s="17"/>
      <c r="E11" s="18"/>
      <c r="F11" s="16"/>
      <c r="G11" s="17"/>
      <c r="H11" s="17"/>
      <c r="I11" s="18"/>
      <c r="J11" s="16"/>
      <c r="K11" s="17"/>
      <c r="L11" s="17"/>
      <c r="M11" s="18"/>
    </row>
    <row r="12" spans="1:15">
      <c r="A12" s="5">
        <v>20000</v>
      </c>
      <c r="B12" s="16">
        <f>$O$7*EXP(-B$9*$A12/($C$7*$E$7))+$O$10</f>
        <v>10848.24059041365</v>
      </c>
      <c r="C12" s="17"/>
      <c r="D12" s="17"/>
      <c r="E12" s="18"/>
      <c r="F12" s="16"/>
      <c r="G12" s="17"/>
      <c r="H12" s="17"/>
      <c r="I12" s="18"/>
      <c r="J12" s="16"/>
      <c r="K12" s="17"/>
      <c r="L12" s="17"/>
      <c r="M12" s="18"/>
    </row>
    <row r="13" spans="1:15">
      <c r="A13" s="5">
        <v>30000</v>
      </c>
      <c r="B13" s="16">
        <f>$O$7*EXP(-B$9*$A13/($C$7*$E$7))+$O$10</f>
        <v>10316.059177384162</v>
      </c>
      <c r="C13" s="17"/>
      <c r="D13" s="17"/>
      <c r="E13" s="18"/>
      <c r="F13" s="16"/>
      <c r="G13" s="17"/>
      <c r="H13" s="17"/>
      <c r="I13" s="18"/>
      <c r="J13" s="16"/>
      <c r="K13" s="17"/>
      <c r="L13" s="17"/>
      <c r="M13" s="18"/>
    </row>
    <row r="14" spans="1:15">
      <c r="A14" s="5">
        <v>40000</v>
      </c>
      <c r="B14" s="16">
        <f>$O$7*EXP(-B$9*$A14/($C$7*$E$7))+$O$10</f>
        <v>9811.0364258679492</v>
      </c>
      <c r="C14" s="17"/>
      <c r="D14" s="17"/>
      <c r="E14" s="18"/>
      <c r="F14" s="16"/>
      <c r="G14" s="17"/>
      <c r="H14" s="17"/>
      <c r="I14" s="18"/>
      <c r="J14" s="16"/>
      <c r="K14" s="17"/>
      <c r="L14" s="17"/>
      <c r="M14" s="18"/>
    </row>
    <row r="15" spans="1:15">
      <c r="A15" s="5">
        <v>50000</v>
      </c>
      <c r="B15" s="16">
        <f>$O$7*EXP(-B$9*$A15/($C$7*$E$7))+$O$10</f>
        <v>9331.7863556764296</v>
      </c>
      <c r="C15" s="17"/>
      <c r="D15" s="17"/>
      <c r="E15" s="18"/>
      <c r="F15" s="16"/>
      <c r="G15" s="17"/>
      <c r="H15" s="17"/>
      <c r="I15" s="18"/>
      <c r="J15" s="16"/>
      <c r="K15" s="17"/>
      <c r="L15" s="17"/>
      <c r="M15" s="18"/>
    </row>
    <row r="16" spans="1:15">
      <c r="A16" s="5">
        <v>60000</v>
      </c>
      <c r="B16" s="16">
        <f>$O$7*EXP(-B$9*$A16/($C$7*$E$7))+$O$10</f>
        <v>8876.9937169507175</v>
      </c>
      <c r="C16" s="17"/>
      <c r="D16" s="17"/>
      <c r="E16" s="18"/>
      <c r="F16" s="16"/>
      <c r="G16" s="17"/>
      <c r="H16" s="17"/>
      <c r="I16" s="18"/>
      <c r="J16" s="16"/>
      <c r="K16" s="17"/>
      <c r="L16" s="17"/>
      <c r="M16" s="18"/>
    </row>
    <row r="17" spans="1:13">
      <c r="A17" s="5">
        <v>70000</v>
      </c>
      <c r="B17" s="16">
        <f>$O$7*EXP(-B$9*$A17/($C$7*$E$7))+$O$10</f>
        <v>8445.4103806009916</v>
      </c>
      <c r="C17" s="17"/>
      <c r="D17" s="17"/>
      <c r="E17" s="18"/>
      <c r="F17" s="16"/>
      <c r="G17" s="17"/>
      <c r="H17" s="17"/>
      <c r="I17" s="18"/>
      <c r="J17" s="16"/>
      <c r="K17" s="17"/>
      <c r="L17" s="17"/>
      <c r="M17" s="18"/>
    </row>
    <row r="18" spans="1:13">
      <c r="A18" s="5">
        <v>80000</v>
      </c>
      <c r="B18" s="16">
        <f>$O$7*EXP(-B$9*$A18/($C$7*$E$7))+$O$10</f>
        <v>8035.851912951528</v>
      </c>
      <c r="C18" s="17"/>
      <c r="D18" s="17"/>
      <c r="E18" s="18"/>
      <c r="F18" s="16"/>
      <c r="G18" s="17"/>
      <c r="H18" s="17"/>
      <c r="I18" s="18"/>
      <c r="J18" s="16"/>
      <c r="K18" s="17"/>
      <c r="L18" s="17"/>
      <c r="M18" s="18"/>
    </row>
    <row r="19" spans="1:13">
      <c r="A19" s="5">
        <v>90000</v>
      </c>
      <c r="B19" s="16">
        <f>$O$7*EXP(-B$9*$A19/($C$7*$E$7))+$O$10</f>
        <v>7647.194325190877</v>
      </c>
      <c r="C19" s="17"/>
      <c r="D19" s="17"/>
      <c r="E19" s="18"/>
      <c r="F19" s="16"/>
      <c r="G19" s="17"/>
      <c r="H19" s="17"/>
      <c r="I19" s="18"/>
      <c r="J19" s="16"/>
      <c r="K19" s="17"/>
      <c r="L19" s="17"/>
      <c r="M19" s="18"/>
    </row>
    <row r="20" spans="1:13">
      <c r="A20" s="5">
        <v>100000</v>
      </c>
      <c r="B20" s="16">
        <f>$O$7*EXP(-B$9*$A20/($C$7*$E$7))+$O$10</f>
        <v>7278.3709887064406</v>
      </c>
      <c r="C20" s="17"/>
      <c r="D20" s="17"/>
      <c r="E20" s="18"/>
      <c r="F20" s="16"/>
      <c r="G20" s="17"/>
      <c r="H20" s="17"/>
      <c r="I20" s="18"/>
      <c r="J20" s="16"/>
      <c r="K20" s="17"/>
      <c r="L20" s="17"/>
      <c r="M20" s="18"/>
    </row>
    <row r="21" spans="1:13">
      <c r="A21" s="5">
        <v>110000</v>
      </c>
      <c r="B21" s="16">
        <f>$O$7*EXP(-B$9*$A21/($C$7*$E$7))+$O$10</f>
        <v>6928.3697078378837</v>
      </c>
      <c r="C21" s="17"/>
      <c r="D21" s="17"/>
      <c r="E21" s="18"/>
      <c r="F21" s="16"/>
      <c r="G21" s="17"/>
      <c r="H21" s="17"/>
      <c r="I21" s="18"/>
      <c r="J21" s="16"/>
      <c r="K21" s="17"/>
      <c r="L21" s="17"/>
      <c r="M21" s="18"/>
    </row>
    <row r="22" spans="1:13">
      <c r="A22" s="5">
        <v>120000</v>
      </c>
      <c r="B22" s="16">
        <f>$O$7*EXP(-B$9*$A22/($C$7*$E$7))+$O$10</f>
        <v>6596.2299420158806</v>
      </c>
      <c r="C22" s="17"/>
      <c r="D22" s="17"/>
      <c r="E22" s="18"/>
      <c r="F22" s="16"/>
      <c r="G22" s="17"/>
      <c r="H22" s="17"/>
      <c r="I22" s="18"/>
      <c r="J22" s="16"/>
      <c r="K22" s="17"/>
      <c r="L22" s="17"/>
      <c r="M22" s="18"/>
    </row>
    <row r="23" spans="1:13">
      <c r="A23" s="5">
        <v>130000</v>
      </c>
      <c r="B23" s="16">
        <f>$O$7*EXP(-B$9*$A23/($C$7*$E$7))+$O$10</f>
        <v>6281.040169662665</v>
      </c>
      <c r="C23" s="17"/>
      <c r="D23" s="17"/>
      <c r="E23" s="18"/>
      <c r="F23" s="16"/>
      <c r="G23" s="17"/>
      <c r="H23" s="17"/>
      <c r="I23" s="18"/>
      <c r="J23" s="16"/>
      <c r="K23" s="17"/>
      <c r="L23" s="17"/>
      <c r="M23" s="18"/>
    </row>
    <row r="24" spans="1:13">
      <c r="A24" s="5">
        <v>140000</v>
      </c>
      <c r="B24" s="16">
        <f>$O$7*EXP(-B$9*$A24/($C$7*$E$7))+$O$10</f>
        <v>5981.9353866198762</v>
      </c>
      <c r="C24" s="17"/>
      <c r="D24" s="17"/>
      <c r="E24" s="18"/>
      <c r="F24" s="16"/>
      <c r="G24" s="17"/>
      <c r="H24" s="17"/>
      <c r="I24" s="18"/>
      <c r="J24" s="16"/>
      <c r="K24" s="17"/>
      <c r="L24" s="17"/>
      <c r="M24" s="18"/>
    </row>
    <row r="25" spans="1:13" ht="15" thickBot="1">
      <c r="A25" s="6">
        <v>150000</v>
      </c>
      <c r="B25" s="19">
        <f>$O$7*EXP(-B$9*$A25/($C$7*$E$7))+$O$10</f>
        <v>5698.0947322384391</v>
      </c>
      <c r="C25" s="20"/>
      <c r="D25" s="20"/>
      <c r="E25" s="21"/>
      <c r="F25" s="19"/>
      <c r="G25" s="20"/>
      <c r="H25" s="20"/>
      <c r="I25" s="21"/>
      <c r="J25" s="19"/>
      <c r="K25" s="20"/>
      <c r="L25" s="20"/>
      <c r="M25" s="21"/>
    </row>
    <row r="27" spans="1:13">
      <c r="A27" s="1" t="s">
        <v>14</v>
      </c>
    </row>
    <row r="28" spans="1:13">
      <c r="A28" s="1"/>
    </row>
    <row r="29" spans="1:13">
      <c r="A29" s="1"/>
    </row>
    <row r="31" spans="1:13" ht="15" thickBot="1"/>
    <row r="32" spans="1:13">
      <c r="A32" s="43" t="s">
        <v>15</v>
      </c>
      <c r="B32" s="44"/>
      <c r="C32" s="44"/>
      <c r="D32" s="44"/>
      <c r="E32" s="44"/>
      <c r="F32" s="44"/>
      <c r="G32" s="44"/>
      <c r="H32" s="45"/>
    </row>
    <row r="33" spans="1:8">
      <c r="A33" s="28"/>
      <c r="B33" s="29"/>
      <c r="C33" s="29"/>
      <c r="D33" s="29"/>
      <c r="E33" s="29"/>
      <c r="F33" s="29"/>
      <c r="G33" s="29"/>
      <c r="H33" s="30"/>
    </row>
    <row r="34" spans="1:8">
      <c r="A34" s="28"/>
      <c r="B34" s="29"/>
      <c r="C34" s="29"/>
      <c r="D34" s="29"/>
      <c r="E34" s="29"/>
      <c r="F34" s="29"/>
      <c r="G34" s="29"/>
      <c r="H34" s="30"/>
    </row>
    <row r="35" spans="1:8">
      <c r="A35" s="28"/>
      <c r="B35" s="29"/>
      <c r="C35" s="29"/>
      <c r="D35" s="29"/>
      <c r="E35" s="29"/>
      <c r="F35" s="29"/>
      <c r="G35" s="29"/>
      <c r="H35" s="30"/>
    </row>
    <row r="36" spans="1:8">
      <c r="A36" s="28"/>
      <c r="B36" s="29"/>
      <c r="C36" s="29"/>
      <c r="D36" s="29"/>
      <c r="E36" s="29"/>
      <c r="F36" s="29"/>
      <c r="G36" s="29"/>
      <c r="H36" s="30"/>
    </row>
    <row r="37" spans="1:8">
      <c r="A37" s="28"/>
      <c r="B37" s="29"/>
      <c r="C37" s="29"/>
      <c r="D37" s="29"/>
      <c r="E37" s="29"/>
      <c r="F37" s="29"/>
      <c r="G37" s="29"/>
      <c r="H37" s="30"/>
    </row>
    <row r="38" spans="1:8" ht="15" thickBot="1">
      <c r="A38" s="31"/>
      <c r="B38" s="32"/>
      <c r="C38" s="32"/>
      <c r="D38" s="32"/>
      <c r="E38" s="32"/>
      <c r="F38" s="32"/>
      <c r="G38" s="32"/>
      <c r="H38" s="33"/>
    </row>
    <row r="39" spans="1:8" ht="15" thickBot="1"/>
    <row r="40" spans="1:8">
      <c r="A40" s="43" t="s">
        <v>16</v>
      </c>
      <c r="B40" s="44"/>
      <c r="C40" s="44"/>
      <c r="D40" s="44"/>
      <c r="E40" s="44"/>
      <c r="F40" s="44"/>
      <c r="G40" s="44"/>
      <c r="H40" s="45"/>
    </row>
    <row r="41" spans="1:8">
      <c r="A41" s="28"/>
      <c r="B41" s="29"/>
      <c r="C41" s="29"/>
      <c r="D41" s="29"/>
      <c r="E41" s="29"/>
      <c r="F41" s="29"/>
      <c r="G41" s="29"/>
      <c r="H41" s="30"/>
    </row>
    <row r="42" spans="1:8">
      <c r="A42" s="28"/>
      <c r="B42" s="29"/>
      <c r="C42" s="29"/>
      <c r="D42" s="29"/>
      <c r="E42" s="29"/>
      <c r="F42" s="29"/>
      <c r="G42" s="29"/>
      <c r="H42" s="30"/>
    </row>
    <row r="43" spans="1:8">
      <c r="A43" s="28"/>
      <c r="B43" s="29"/>
      <c r="C43" s="29"/>
      <c r="D43" s="29"/>
      <c r="E43" s="29"/>
      <c r="F43" s="29"/>
      <c r="G43" s="29"/>
      <c r="H43" s="30"/>
    </row>
    <row r="44" spans="1:8">
      <c r="A44" s="28"/>
      <c r="B44" s="29"/>
      <c r="C44" s="29"/>
      <c r="D44" s="29"/>
      <c r="E44" s="29"/>
      <c r="F44" s="29"/>
      <c r="G44" s="29"/>
      <c r="H44" s="30"/>
    </row>
    <row r="45" spans="1:8">
      <c r="A45" s="28"/>
      <c r="B45" s="29"/>
      <c r="C45" s="29"/>
      <c r="D45" s="29"/>
      <c r="E45" s="29"/>
      <c r="F45" s="29"/>
      <c r="G45" s="29"/>
      <c r="H45" s="30"/>
    </row>
    <row r="46" spans="1:8" ht="15" thickBot="1">
      <c r="A46" s="31"/>
      <c r="B46" s="32"/>
      <c r="C46" s="32"/>
      <c r="D46" s="32"/>
      <c r="E46" s="32"/>
      <c r="F46" s="32"/>
      <c r="G46" s="32"/>
      <c r="H46" s="33"/>
    </row>
  </sheetData>
  <mergeCells count="10">
    <mergeCell ref="A3:M3"/>
    <mergeCell ref="A41:H46"/>
    <mergeCell ref="F8:I8"/>
    <mergeCell ref="J8:M8"/>
    <mergeCell ref="B8:E8"/>
    <mergeCell ref="B6:M6"/>
    <mergeCell ref="A6:A9"/>
    <mergeCell ref="A32:H32"/>
    <mergeCell ref="A40:H40"/>
    <mergeCell ref="A33:H38"/>
  </mergeCells>
  <pageMargins left="0.7" right="0.7" top="0.75" bottom="0.75" header="0.3" footer="0.3"/>
  <pageSetup scale="54"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Summer Rupper</dc:creator>
  <cp:keywords/>
  <dc:description/>
  <cp:lastModifiedBy>Summer Rupper</cp:lastModifiedBy>
  <cp:revision/>
  <dcterms:created xsi:type="dcterms:W3CDTF">2020-11-11T18:21:15Z</dcterms:created>
  <dcterms:modified xsi:type="dcterms:W3CDTF">2021-10-05T17:42:01Z</dcterms:modified>
  <cp:category/>
  <cp:contentStatus/>
</cp:coreProperties>
</file>